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ortfolio" sheetId="2" r:id="rId2"/>
    <sheet name="Scenarios" sheetId="3" r:id="rId3"/>
    <sheet name="Historical risk" sheetId="4" r:id="rId4"/>
    <sheet name="VaR backtest" sheetId="5" r:id="rId5"/>
    <sheet name="Worst days" sheetId="6" r:id="rId6"/>
    <sheet name="Scenario history 1d" sheetId="7" r:id="rId7"/>
    <sheet name="Scenario history 5d" sheetId="8" r:id="rId8"/>
    <sheet name="ML metrics" sheetId="9" r:id="rId9"/>
    <sheet name="ML importance" sheetId="10" r:id="rId10"/>
    <sheet name="Monte Carlo" sheetId="11" r:id="rId11"/>
    <sheet name="RL metrics" sheetId="12" r:id="rId12"/>
    <sheet name="RL seed summary" sheetId="13" r:id="rId13"/>
  </sheets>
  <definedNames>
    <definedName name="_xlnm._FilterDatabase" localSheetId="3" hidden="1">'Historical risk'!$A$1:$B$7</definedName>
    <definedName name="_xlnm._FilterDatabase" localSheetId="9" hidden="1">'ML importance'!$A$1:$B$10</definedName>
    <definedName name="_xlnm._FilterDatabase" localSheetId="8" hidden="1">'ML metrics'!$A$1:$C$3</definedName>
    <definedName name="_xlnm._FilterDatabase" localSheetId="10" hidden="1">'Monte Carlo'!$A$1:$J$9</definedName>
    <definedName name="_xlnm._FilterDatabase" localSheetId="1" hidden="1">Portfolio!$A$1:$L$10</definedName>
    <definedName name="_xlnm._FilterDatabase" localSheetId="11" hidden="1">'RL metrics'!$A$1:$I$13</definedName>
    <definedName name="_xlnm._FilterDatabase" localSheetId="12" hidden="1">'RL seed summary'!$A$1:$O$5</definedName>
    <definedName name="_xlnm._FilterDatabase" localSheetId="6" hidden="1">'Scenario history 1d'!$A$1:$F$4</definedName>
    <definedName name="_xlnm._FilterDatabase" localSheetId="7" hidden="1">'Scenario history 5d'!$A$1:$F$4</definedName>
    <definedName name="_xlnm._FilterDatabase" localSheetId="2" hidden="1">Scenarios!$A$1:$H$4</definedName>
    <definedName name="_xlnm._FilterDatabase" localSheetId="4" hidden="1">'VaR backtest'!$A$1:$F$3</definedName>
    <definedName name="_xlnm._FilterDatabase" localSheetId="5" hidden="1">'Worst days'!$A$1:$B$11</definedName>
  </definedNames>
  <calcPr calcId="124519" fullCalcOnLoad="1"/>
</workbook>
</file>

<file path=xl/sharedStrings.xml><?xml version="1.0" encoding="utf-8"?>
<sst xmlns="http://schemas.openxmlformats.org/spreadsheetml/2006/main" count="186" uniqueCount="131">
  <si>
    <t>Experimental Bond Risk Research</t>
  </si>
  <si>
    <t>EXPERIMENTAL RESEARCH OUTPUT. Historical portfolio returns are an approximate rate-only book proxy, not exact historical portfolio P&amp;L. Credit spreads, MBS optionality, FX and liquidity risks are omitted from that proxy. Scenario repricing is a separate calculation. RL controls exposure; it does not implement an instrument-level hedge.</t>
  </si>
  <si>
    <t>Findings</t>
  </si>
  <si>
    <t>ML held-out RMSE is 0.001208; trailing-volatility RMSE is 0.001280. ML error is lower.</t>
  </si>
  <si>
    <t>RL seed summaries are descriptive averages and standard deviations across training seeds, not confidence intervals.</t>
  </si>
  <si>
    <t>Reduced exposure can lower drawdown without demonstrating a superior policy; compare return, downside risk and turnover.</t>
  </si>
  <si>
    <t>Static export: rerun the pipeline to refresh results.</t>
  </si>
  <si>
    <t>index</t>
  </si>
  <si>
    <t>sleeve</t>
  </si>
  <si>
    <t>weight</t>
  </si>
  <si>
    <t>notional_usd</t>
  </si>
  <si>
    <t>price</t>
  </si>
  <si>
    <t>mod_dur</t>
  </si>
  <si>
    <t>convexity</t>
  </si>
  <si>
    <t>dv01_usd</t>
  </si>
  <si>
    <t>krd_2y_usd</t>
  </si>
  <si>
    <t>krd_5y_usd</t>
  </si>
  <si>
    <t>krd_10y_usd</t>
  </si>
  <si>
    <t>krd_30y_usd</t>
  </si>
  <si>
    <t>UST_2Y</t>
  </si>
  <si>
    <t>UST_5Y</t>
  </si>
  <si>
    <t>UST_10Y</t>
  </si>
  <si>
    <t>UST_30Y</t>
  </si>
  <si>
    <t>IG_7Y</t>
  </si>
  <si>
    <t>HY_4Y</t>
  </si>
  <si>
    <t>MBS_5Y5</t>
  </si>
  <si>
    <t>CASH</t>
  </si>
  <si>
    <t>TOTAL</t>
  </si>
  <si>
    <t>treasuries</t>
  </si>
  <si>
    <t>ig_corp</t>
  </si>
  <si>
    <t>hy</t>
  </si>
  <si>
    <t>mbs</t>
  </si>
  <si>
    <t>cash</t>
  </si>
  <si>
    <t>scenario</t>
  </si>
  <si>
    <t>rates_$M</t>
  </si>
  <si>
    <t>spread_$M</t>
  </si>
  <si>
    <t>haircut_$M</t>
  </si>
  <si>
    <t>total_$M</t>
  </si>
  <si>
    <t>total_%NAV</t>
  </si>
  <si>
    <t>dur_only_$M</t>
  </si>
  <si>
    <t>taylor2_$M</t>
  </si>
  <si>
    <t>japan_baseline</t>
  </si>
  <si>
    <t>japan_severe</t>
  </si>
  <si>
    <t>japan_extreme</t>
  </si>
  <si>
    <t>metric</t>
  </si>
  <si>
    <t>value_pct</t>
  </si>
  <si>
    <t>Latest 95% VaR</t>
  </si>
  <si>
    <t>Latest 95% ES</t>
  </si>
  <si>
    <t>Latest 99% VaR</t>
  </si>
  <si>
    <t>Latest 99% ES</t>
  </si>
  <si>
    <t>Worst day</t>
  </si>
  <si>
    <t>Std dev</t>
  </si>
  <si>
    <t>alpha</t>
  </si>
  <si>
    <t>n_obs</t>
  </si>
  <si>
    <t>expected_breaches</t>
  </si>
  <si>
    <t>actual_breaches</t>
  </si>
  <si>
    <t>breach_rate</t>
  </si>
  <si>
    <t>expected_rate</t>
  </si>
  <si>
    <t>date</t>
  </si>
  <si>
    <t>book_return</t>
  </si>
  <si>
    <t>2022-06-13</t>
  </si>
  <si>
    <t>2008-09-19</t>
  </si>
  <si>
    <t>2020-03-17</t>
  </si>
  <si>
    <t>2008-09-30</t>
  </si>
  <si>
    <t>2008-03-24</t>
  </si>
  <si>
    <t>2020-03-10</t>
  </si>
  <si>
    <t>2009-06-01</t>
  </si>
  <si>
    <t>2010-12-07</t>
  </si>
  <si>
    <t>2013-07-05</t>
  </si>
  <si>
    <t>2024-04-10</t>
  </si>
  <si>
    <t>loss_pct</t>
  </si>
  <si>
    <t>days_worse_or_equal</t>
  </si>
  <si>
    <t>share_of_history_pct</t>
  </si>
  <si>
    <t>approx_return_period_days</t>
  </si>
  <si>
    <t>approx_return_period_years</t>
  </si>
  <si>
    <t>inf</t>
  </si>
  <si>
    <t>model</t>
  </si>
  <si>
    <t>MAE</t>
  </si>
  <si>
    <t>RMSE</t>
  </si>
  <si>
    <t>Trailing_20d</t>
  </si>
  <si>
    <t>RandomForest</t>
  </si>
  <si>
    <t>importance</t>
  </si>
  <si>
    <t>rms_60</t>
  </si>
  <si>
    <t>rms_20</t>
  </si>
  <si>
    <t>rms_5</t>
  </si>
  <si>
    <t>slope</t>
  </si>
  <si>
    <t>yield_10y</t>
  </si>
  <si>
    <t>mean_5</t>
  </si>
  <si>
    <t>return_today</t>
  </si>
  <si>
    <t>return_lag1</t>
  </si>
  <si>
    <t>dy_10y</t>
  </si>
  <si>
    <t>method</t>
  </si>
  <si>
    <t>horizon_days</t>
  </si>
  <si>
    <t>confidence</t>
  </si>
  <si>
    <t>VaR_pct</t>
  </si>
  <si>
    <t>ES_pct</t>
  </si>
  <si>
    <t>prob_loss_gt_3pct</t>
  </si>
  <si>
    <t>mean_return_pct</t>
  </si>
  <si>
    <t>paths</t>
  </si>
  <si>
    <t>asof</t>
  </si>
  <si>
    <t>ML_RMS_scale</t>
  </si>
  <si>
    <t>historical_bootstrap</t>
  </si>
  <si>
    <t>ML_scaled_experiment</t>
  </si>
  <si>
    <t>2026-09-23</t>
  </si>
  <si>
    <t>strategy</t>
  </si>
  <si>
    <t>total_return_pct</t>
  </si>
  <si>
    <t>annualized_return_pct</t>
  </si>
  <si>
    <t>max_drawdown_pct</t>
  </si>
  <si>
    <t>daily_VaR99_pct</t>
  </si>
  <si>
    <t>daily_ES99_pct</t>
  </si>
  <si>
    <t>average_exposure</t>
  </si>
  <si>
    <t>total_turnover</t>
  </si>
  <si>
    <t>seed</t>
  </si>
  <si>
    <t>MC_RL</t>
  </si>
  <si>
    <t>Full_book</t>
  </si>
  <si>
    <t>Fixed_75pct</t>
  </si>
  <si>
    <t>Vol_target</t>
  </si>
  <si>
    <t>total_return_pct_mean</t>
  </si>
  <si>
    <t>total_return_pct_std</t>
  </si>
  <si>
    <t>annualized_return_pct_mean</t>
  </si>
  <si>
    <t>annualized_return_pct_std</t>
  </si>
  <si>
    <t>max_drawdown_pct_mean</t>
  </si>
  <si>
    <t>max_drawdown_pct_std</t>
  </si>
  <si>
    <t>daily_VaR99_pct_mean</t>
  </si>
  <si>
    <t>daily_VaR99_pct_std</t>
  </si>
  <si>
    <t>daily_ES99_pct_mean</t>
  </si>
  <si>
    <t>daily_ES99_pct_std</t>
  </si>
  <si>
    <t>average_exposure_mean</t>
  </si>
  <si>
    <t>average_exposure_std</t>
  </si>
  <si>
    <t>total_turnover_mean</t>
  </si>
  <si>
    <t>total_turnover_std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</si>
</sst>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4872773</xdr:colOff>
      <xdr:row>30</xdr:row>
      <xdr:rowOff>40839</xdr:rowOff>
    </xdr:to>
    <xdr:pic>
      <xdr:nvPicPr>
        <xdr:cNvPr id="2" name="Picture 1" descr="scenario_pn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19500"/>
          <a:ext cx="4872773" cy="21363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05.7109375" customWidth="1"/>
  </cols>
  <sheetData>
    <row r="1" spans="1:4">
      <c r="A1" t="s">
        <v>0</v>
      </c>
    </row>
    <row r="3" spans="1:4">
      <c r="A3" s="1" t="s">
        <v>1</v>
      </c>
      <c r="B3" s="1"/>
      <c r="C3" s="1"/>
      <c r="D3" s="1"/>
    </row>
    <row r="4" spans="1:4">
      <c r="A4" s="1"/>
      <c r="B4" s="1"/>
      <c r="C4" s="1"/>
      <c r="D4" s="1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9" spans="1:4">
      <c r="A9" t="s">
        <v>2</v>
      </c>
    </row>
    <row r="11" spans="1:4">
      <c r="A11" t="s">
        <v>3</v>
      </c>
    </row>
    <row r="12" spans="1:4">
      <c r="A12" t="s">
        <v>4</v>
      </c>
    </row>
    <row r="13" spans="1:4">
      <c r="A13" t="s">
        <v>5</v>
      </c>
    </row>
    <row r="17" spans="1:1">
      <c r="A17" t="s">
        <v>6</v>
      </c>
    </row>
  </sheetData>
  <mergeCells count="1">
    <mergeCell ref="A3:D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0.7109375" customWidth="1"/>
  </cols>
  <sheetData>
    <row r="1" spans="1:1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>
      <c r="A2" t="s">
        <v>19</v>
      </c>
      <c r="B2" t="s">
        <v>28</v>
      </c>
      <c r="C2">
        <v>0.06</v>
      </c>
      <c r="D2">
        <v>600000000</v>
      </c>
      <c r="E2">
        <v>98.72</v>
      </c>
      <c r="F2">
        <v>1.892</v>
      </c>
      <c r="G2">
        <v>4.6</v>
      </c>
      <c r="H2">
        <v>112092.1745792176</v>
      </c>
      <c r="I2">
        <v>113774.1198300578</v>
      </c>
      <c r="J2">
        <v>-0</v>
      </c>
      <c r="K2">
        <v>-0</v>
      </c>
      <c r="L2">
        <v>-0</v>
      </c>
    </row>
    <row r="3" spans="1:12">
      <c r="A3" t="s">
        <v>20</v>
      </c>
      <c r="B3" t="s">
        <v>28</v>
      </c>
      <c r="C3">
        <v>0.1</v>
      </c>
      <c r="D3">
        <v>1000000000</v>
      </c>
      <c r="E3">
        <v>96.76000000000001</v>
      </c>
      <c r="F3">
        <v>4.425</v>
      </c>
      <c r="G3">
        <v>23</v>
      </c>
      <c r="H3">
        <v>428202.7554788498</v>
      </c>
      <c r="I3">
        <v>-3979.476682387994</v>
      </c>
      <c r="J3">
        <v>447724.0541846144</v>
      </c>
      <c r="K3">
        <v>-0</v>
      </c>
      <c r="L3">
        <v>-0</v>
      </c>
    </row>
    <row r="4" spans="1:12">
      <c r="A4" t="s">
        <v>21</v>
      </c>
      <c r="B4" t="s">
        <v>28</v>
      </c>
      <c r="C4">
        <v>0.1399999999999999</v>
      </c>
      <c r="D4">
        <v>1400000000</v>
      </c>
      <c r="E4">
        <v>96.20999999999999</v>
      </c>
      <c r="F4">
        <v>7.806</v>
      </c>
      <c r="G4">
        <v>73.7</v>
      </c>
      <c r="H4">
        <v>1051389.916159218</v>
      </c>
      <c r="I4">
        <v>-2868.858552536045</v>
      </c>
      <c r="J4">
        <v>-11000.90407783521</v>
      </c>
      <c r="K4">
        <v>1113091.848832194</v>
      </c>
      <c r="L4">
        <v>-0</v>
      </c>
    </row>
    <row r="5" spans="1:12">
      <c r="A5" t="s">
        <v>22</v>
      </c>
      <c r="B5" t="s">
        <v>28</v>
      </c>
      <c r="C5">
        <v>0.1</v>
      </c>
      <c r="D5">
        <v>1000000000</v>
      </c>
      <c r="E5">
        <v>92.18000000000001</v>
      </c>
      <c r="F5">
        <v>14.673</v>
      </c>
      <c r="G5">
        <v>325.8</v>
      </c>
      <c r="H5">
        <v>1352620.698745027</v>
      </c>
      <c r="I5">
        <v>-784.4919016957259</v>
      </c>
      <c r="J5">
        <v>-3008.206924509604</v>
      </c>
      <c r="K5">
        <v>-34311.03221615325</v>
      </c>
      <c r="L5">
        <v>1514087.30414866</v>
      </c>
    </row>
    <row r="6" spans="1:12">
      <c r="A6" t="s">
        <v>23</v>
      </c>
      <c r="B6" t="s">
        <v>29</v>
      </c>
      <c r="C6">
        <v>0.3</v>
      </c>
      <c r="D6">
        <v>3000000000</v>
      </c>
      <c r="E6">
        <v>100.06</v>
      </c>
      <c r="F6">
        <v>5.806</v>
      </c>
      <c r="G6">
        <v>40.1</v>
      </c>
      <c r="H6">
        <v>1742759.651675445</v>
      </c>
      <c r="I6">
        <v>140.9197631769974</v>
      </c>
      <c r="J6">
        <v>1049264.968735395</v>
      </c>
      <c r="K6">
        <v>699453.861713279</v>
      </c>
      <c r="L6">
        <v>-0</v>
      </c>
    </row>
    <row r="7" spans="1:12">
      <c r="A7" t="s">
        <v>24</v>
      </c>
      <c r="B7" t="s">
        <v>30</v>
      </c>
      <c r="C7">
        <v>0.1</v>
      </c>
      <c r="D7">
        <v>1000000000</v>
      </c>
      <c r="E7">
        <v>108.81</v>
      </c>
      <c r="F7">
        <v>3.465</v>
      </c>
      <c r="G7">
        <v>14.6</v>
      </c>
      <c r="H7">
        <v>376992.4625217955</v>
      </c>
      <c r="I7">
        <v>121568.3106662892</v>
      </c>
      <c r="J7">
        <v>225667.1320555034</v>
      </c>
      <c r="K7">
        <v>-0</v>
      </c>
      <c r="L7">
        <v>-0</v>
      </c>
    </row>
    <row r="8" spans="1:12">
      <c r="A8" t="s">
        <v>25</v>
      </c>
      <c r="B8" t="s">
        <v>31</v>
      </c>
      <c r="C8">
        <v>0.1</v>
      </c>
      <c r="D8">
        <v>1000000000</v>
      </c>
      <c r="E8">
        <v>101.36</v>
      </c>
      <c r="F8">
        <v>4.716</v>
      </c>
      <c r="G8">
        <v>26.4</v>
      </c>
      <c r="H8">
        <v>477989.0271585673</v>
      </c>
      <c r="I8">
        <v>1426.661228254676</v>
      </c>
      <c r="J8">
        <v>424546.4018708247</v>
      </c>
      <c r="K8">
        <v>46993.14926349976</v>
      </c>
      <c r="L8">
        <v>-0</v>
      </c>
    </row>
    <row r="9" spans="1:12">
      <c r="A9" t="s">
        <v>26</v>
      </c>
      <c r="B9" t="s">
        <v>32</v>
      </c>
      <c r="C9">
        <v>0.1</v>
      </c>
      <c r="D9">
        <v>1000000000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t="s">
        <v>27</v>
      </c>
      <c r="B10" t="s">
        <v>27</v>
      </c>
      <c r="C10">
        <v>1</v>
      </c>
      <c r="D10">
        <v>10000000000</v>
      </c>
      <c r="H10">
        <v>5542046.68631812</v>
      </c>
      <c r="I10">
        <v>229277.1843511589</v>
      </c>
      <c r="J10">
        <v>2133193.445843993</v>
      </c>
      <c r="K10">
        <v>1825227.82759282</v>
      </c>
      <c r="L10">
        <v>1514087.30414866</v>
      </c>
    </row>
  </sheetData>
  <autoFilter ref="A1:L10"/>
  <conditionalFormatting sqref="C2:C1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0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10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0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0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0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0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10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10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10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8" width="20.7109375" customWidth="1"/>
  </cols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41</v>
      </c>
      <c r="B2">
        <v>-263.3156946286796</v>
      </c>
      <c r="C2">
        <v>-52.02314860509976</v>
      </c>
      <c r="D2">
        <v>-30</v>
      </c>
      <c r="E2">
        <v>-345.3388432337794</v>
      </c>
      <c r="F2">
        <v>-3.453388432337793</v>
      </c>
      <c r="G2">
        <v>-269.3709875471615</v>
      </c>
      <c r="H2">
        <v>-259.7431492034776</v>
      </c>
    </row>
    <row r="3" spans="1:8">
      <c r="A3" t="s">
        <v>42</v>
      </c>
      <c r="B3">
        <v>-611.2305576116383</v>
      </c>
      <c r="C3">
        <v>-156.0694458152993</v>
      </c>
      <c r="D3">
        <v>-90</v>
      </c>
      <c r="E3">
        <v>-857.3000034269376</v>
      </c>
      <c r="F3">
        <v>-8.573000034269377</v>
      </c>
      <c r="G3">
        <v>-652.3597550047994</v>
      </c>
      <c r="H3">
        <v>-594.8443176371788</v>
      </c>
    </row>
    <row r="4" spans="1:8">
      <c r="A4" t="s">
        <v>43</v>
      </c>
      <c r="B4">
        <v>-1173.398082647454</v>
      </c>
      <c r="C4">
        <v>-312.1388916305985</v>
      </c>
      <c r="D4">
        <v>-180</v>
      </c>
      <c r="E4">
        <v>-1665.536974278053</v>
      </c>
      <c r="F4">
        <v>-16.65536974278053</v>
      </c>
      <c r="G4">
        <v>-1339.518206621292</v>
      </c>
      <c r="H4">
        <v>-1104.075855970892</v>
      </c>
    </row>
  </sheetData>
  <autoFilter ref="A1:H4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0.7109375" customWidth="1"/>
  </cols>
  <sheetData>
    <row r="1" spans="1:2">
      <c r="A1" t="s">
        <v>44</v>
      </c>
      <c r="B1" t="s">
        <v>45</v>
      </c>
    </row>
    <row r="2" spans="1:2">
      <c r="A2" t="s">
        <v>46</v>
      </c>
      <c r="B2">
        <v>0.3617926746031735</v>
      </c>
    </row>
    <row r="3" spans="1:2">
      <c r="A3" t="s">
        <v>47</v>
      </c>
      <c r="B3">
        <v>0.5200195970695969</v>
      </c>
    </row>
    <row r="4" spans="1:2">
      <c r="A4" t="s">
        <v>48</v>
      </c>
      <c r="B4">
        <v>0.6726176317460315</v>
      </c>
    </row>
    <row r="5" spans="1:2">
      <c r="A5" t="s">
        <v>49</v>
      </c>
      <c r="B5">
        <v>0.7464174603174605</v>
      </c>
    </row>
    <row r="6" spans="1:2">
      <c r="A6" t="s">
        <v>50</v>
      </c>
      <c r="B6">
        <v>-1.578909682539682</v>
      </c>
    </row>
    <row r="7" spans="1:2">
      <c r="A7" t="s">
        <v>51</v>
      </c>
      <c r="B7">
        <v>0.3057639708038489</v>
      </c>
    </row>
  </sheetData>
  <autoFilter ref="A1:B7"/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>
      <c r="A2">
        <v>0.95</v>
      </c>
      <c r="B2">
        <v>5421</v>
      </c>
      <c r="C2">
        <v>271.0500000000002</v>
      </c>
      <c r="D2">
        <v>304</v>
      </c>
      <c r="E2">
        <v>0.0560782143515956</v>
      </c>
      <c r="F2">
        <v>0.05</v>
      </c>
    </row>
    <row r="3" spans="1:6">
      <c r="A3">
        <v>0.99</v>
      </c>
      <c r="B3">
        <v>5421</v>
      </c>
      <c r="C3">
        <v>54.21000000000005</v>
      </c>
      <c r="D3">
        <v>70</v>
      </c>
      <c r="E3">
        <v>0.0129127467256963</v>
      </c>
      <c r="F3">
        <v>0.01</v>
      </c>
    </row>
  </sheetData>
  <autoFilter ref="A1:F3"/>
  <conditionalFormatting sqref="A2:A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0.7109375" customWidth="1"/>
  </cols>
  <sheetData>
    <row r="1" spans="1:2">
      <c r="A1" t="s">
        <v>58</v>
      </c>
      <c r="B1" t="s">
        <v>59</v>
      </c>
    </row>
    <row r="2" spans="1:2">
      <c r="A2" t="s">
        <v>60</v>
      </c>
      <c r="B2">
        <v>-0.0157890968253968</v>
      </c>
    </row>
    <row r="3" spans="1:2">
      <c r="A3" t="s">
        <v>61</v>
      </c>
      <c r="B3">
        <v>-0.0157267619047619</v>
      </c>
    </row>
    <row r="4" spans="1:2">
      <c r="A4" t="s">
        <v>62</v>
      </c>
      <c r="B4">
        <v>-0.014007446031746</v>
      </c>
    </row>
    <row r="5" spans="1:2">
      <c r="A5" t="s">
        <v>63</v>
      </c>
      <c r="B5">
        <v>-0.0137882285714285</v>
      </c>
    </row>
    <row r="6" spans="1:2">
      <c r="A6" t="s">
        <v>64</v>
      </c>
      <c r="B6">
        <v>-0.0130754</v>
      </c>
    </row>
    <row r="7" spans="1:2">
      <c r="A7" t="s">
        <v>65</v>
      </c>
      <c r="B7">
        <v>-0.0122221523809523</v>
      </c>
    </row>
    <row r="8" spans="1:2">
      <c r="A8" t="s">
        <v>66</v>
      </c>
      <c r="B8">
        <v>-0.011981919047619</v>
      </c>
    </row>
    <row r="9" spans="1:2">
      <c r="A9" t="s">
        <v>67</v>
      </c>
      <c r="B9">
        <v>-0.0111960063492063</v>
      </c>
    </row>
    <row r="10" spans="1:2">
      <c r="A10" t="s">
        <v>68</v>
      </c>
      <c r="B10">
        <v>-0.0111045142857142</v>
      </c>
    </row>
    <row r="11" spans="1:2">
      <c r="A11" t="s">
        <v>69</v>
      </c>
      <c r="B11">
        <v>-0.0109933253968253</v>
      </c>
    </row>
  </sheetData>
  <autoFilter ref="A1:B11"/>
  <conditionalFormatting sqref="B2:B1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A1" t="s">
        <v>33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>
      <c r="A2" t="s">
        <v>41</v>
      </c>
      <c r="B2">
        <v>3.453388432337793</v>
      </c>
      <c r="C2">
        <v>0</v>
      </c>
      <c r="D2">
        <v>0</v>
      </c>
      <c r="E2" t="s">
        <v>75</v>
      </c>
      <c r="F2" t="s">
        <v>75</v>
      </c>
    </row>
    <row r="3" spans="1:6">
      <c r="A3" t="s">
        <v>42</v>
      </c>
      <c r="B3">
        <v>8.573000034269377</v>
      </c>
      <c r="C3">
        <v>0</v>
      </c>
      <c r="D3">
        <v>0</v>
      </c>
      <c r="E3" t="s">
        <v>75</v>
      </c>
      <c r="F3" t="s">
        <v>75</v>
      </c>
    </row>
    <row r="4" spans="1:6">
      <c r="A4" t="s">
        <v>43</v>
      </c>
      <c r="B4">
        <v>16.65536974278053</v>
      </c>
      <c r="C4">
        <v>0</v>
      </c>
      <c r="D4">
        <v>0</v>
      </c>
      <c r="E4" t="s">
        <v>75</v>
      </c>
      <c r="F4" t="s">
        <v>75</v>
      </c>
    </row>
  </sheetData>
  <autoFilter ref="A1:F4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20.7109375" customWidth="1"/>
  </cols>
  <sheetData>
    <row r="1" spans="1:6">
      <c r="A1" t="s">
        <v>33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</row>
    <row r="2" spans="1:6">
      <c r="A2" t="s">
        <v>41</v>
      </c>
      <c r="B2">
        <v>3.453388432337793</v>
      </c>
      <c r="C2">
        <v>0</v>
      </c>
      <c r="D2">
        <v>0</v>
      </c>
      <c r="E2" t="s">
        <v>75</v>
      </c>
      <c r="F2" t="s">
        <v>75</v>
      </c>
    </row>
    <row r="3" spans="1:6">
      <c r="A3" t="s">
        <v>42</v>
      </c>
      <c r="B3">
        <v>8.573000034269377</v>
      </c>
      <c r="C3">
        <v>0</v>
      </c>
      <c r="D3">
        <v>0</v>
      </c>
      <c r="E3" t="s">
        <v>75</v>
      </c>
      <c r="F3" t="s">
        <v>75</v>
      </c>
    </row>
    <row r="4" spans="1:6">
      <c r="A4" t="s">
        <v>43</v>
      </c>
      <c r="B4">
        <v>16.65536974278053</v>
      </c>
      <c r="C4">
        <v>0</v>
      </c>
      <c r="D4">
        <v>0</v>
      </c>
      <c r="E4" t="s">
        <v>75</v>
      </c>
      <c r="F4" t="s">
        <v>75</v>
      </c>
    </row>
  </sheetData>
  <autoFilter ref="A1:F4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0.7109375" customWidth="1"/>
  </cols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>
        <v>0.0009510798851805</v>
      </c>
      <c r="C2">
        <v>0.0012796489479359</v>
      </c>
    </row>
    <row r="3" spans="1:3">
      <c r="A3" t="s">
        <v>80</v>
      </c>
      <c r="B3">
        <v>0.0009139750892109</v>
      </c>
      <c r="C3">
        <v>0.0012082506144131</v>
      </c>
    </row>
  </sheetData>
  <autoFilter ref="A1:C3"/>
  <conditionalFormatting sqref="B2:B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0.7109375" customWidth="1"/>
  </cols>
  <sheetData>
    <row r="1" spans="1:2">
      <c r="A1" t="s">
        <v>7</v>
      </c>
      <c r="B1" t="s">
        <v>81</v>
      </c>
    </row>
    <row r="2" spans="1:2">
      <c r="A2" t="s">
        <v>82</v>
      </c>
      <c r="B2">
        <v>0.4286112668820335</v>
      </c>
    </row>
    <row r="3" spans="1:2">
      <c r="A3" t="s">
        <v>83</v>
      </c>
      <c r="B3">
        <v>0.3906887730706402</v>
      </c>
    </row>
    <row r="4" spans="1:2">
      <c r="A4" t="s">
        <v>84</v>
      </c>
      <c r="B4">
        <v>0.1012399085929019</v>
      </c>
    </row>
    <row r="5" spans="1:2">
      <c r="A5" t="s">
        <v>85</v>
      </c>
      <c r="B5">
        <v>0.0288655679559548</v>
      </c>
    </row>
    <row r="6" spans="1:2">
      <c r="A6" t="s">
        <v>86</v>
      </c>
      <c r="B6">
        <v>0.0266315642663085</v>
      </c>
    </row>
    <row r="7" spans="1:2">
      <c r="A7" t="s">
        <v>87</v>
      </c>
      <c r="B7">
        <v>0.0169509973828057</v>
      </c>
    </row>
    <row r="8" spans="1:2">
      <c r="A8" t="s">
        <v>88</v>
      </c>
      <c r="B8">
        <v>0.0031951841212605</v>
      </c>
    </row>
    <row r="9" spans="1:2">
      <c r="A9" t="s">
        <v>89</v>
      </c>
      <c r="B9">
        <v>0.0025521631416982</v>
      </c>
    </row>
    <row r="10" spans="1:2">
      <c r="A10" t="s">
        <v>90</v>
      </c>
      <c r="B10">
        <v>0.0012645745863964</v>
      </c>
    </row>
  </sheetData>
  <autoFilter ref="A1:B10"/>
  <conditionalFormatting sqref="B2:B1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0" width="20.7109375" customWidth="1"/>
  </cols>
  <sheetData>
    <row r="1" spans="1:10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</row>
    <row r="2" spans="1:10">
      <c r="A2" t="s">
        <v>101</v>
      </c>
      <c r="B2">
        <v>5</v>
      </c>
      <c r="C2">
        <v>0.95</v>
      </c>
      <c r="D2">
        <v>1.004436128918718</v>
      </c>
      <c r="E2">
        <v>1.350364828850818</v>
      </c>
      <c r="F2">
        <v>0</v>
      </c>
      <c r="G2">
        <v>0.0440134544212715</v>
      </c>
      <c r="H2">
        <v>10000</v>
      </c>
      <c r="I2" t="s">
        <v>103</v>
      </c>
      <c r="J2">
        <v>1</v>
      </c>
    </row>
    <row r="3" spans="1:10">
      <c r="A3" t="s">
        <v>101</v>
      </c>
      <c r="B3">
        <v>5</v>
      </c>
      <c r="C3">
        <v>0.99</v>
      </c>
      <c r="D3">
        <v>1.591881262636341</v>
      </c>
      <c r="E3">
        <v>1.885530025266245</v>
      </c>
      <c r="F3">
        <v>0</v>
      </c>
      <c r="G3">
        <v>0.0440134544212715</v>
      </c>
      <c r="H3">
        <v>10000</v>
      </c>
      <c r="I3" t="s">
        <v>103</v>
      </c>
      <c r="J3">
        <v>1</v>
      </c>
    </row>
    <row r="4" spans="1:10">
      <c r="A4" t="s">
        <v>102</v>
      </c>
      <c r="B4">
        <v>5</v>
      </c>
      <c r="C4">
        <v>0.95</v>
      </c>
      <c r="D4">
        <v>0.8119170928680086</v>
      </c>
      <c r="E4">
        <v>1.094503526475738</v>
      </c>
      <c r="F4">
        <v>0</v>
      </c>
      <c r="G4">
        <v>0.0446538109277178</v>
      </c>
      <c r="H4">
        <v>10000</v>
      </c>
      <c r="I4" t="s">
        <v>103</v>
      </c>
      <c r="J4">
        <v>0.8164177777222945</v>
      </c>
    </row>
    <row r="5" spans="1:10">
      <c r="A5" t="s">
        <v>102</v>
      </c>
      <c r="B5">
        <v>5</v>
      </c>
      <c r="C5">
        <v>0.99</v>
      </c>
      <c r="D5">
        <v>1.291614412476172</v>
      </c>
      <c r="E5">
        <v>1.532312670089995</v>
      </c>
      <c r="F5">
        <v>0</v>
      </c>
      <c r="G5">
        <v>0.0446538109277178</v>
      </c>
      <c r="H5">
        <v>10000</v>
      </c>
      <c r="I5" t="s">
        <v>103</v>
      </c>
      <c r="J5">
        <v>0.8164177777222945</v>
      </c>
    </row>
    <row r="6" spans="1:10">
      <c r="A6" t="s">
        <v>101</v>
      </c>
      <c r="B6">
        <v>20</v>
      </c>
      <c r="C6">
        <v>0.95</v>
      </c>
      <c r="D6">
        <v>1.896643054395508</v>
      </c>
      <c r="E6">
        <v>2.452680451721817</v>
      </c>
      <c r="F6">
        <v>0.0066</v>
      </c>
      <c r="G6">
        <v>0.2022093855695061</v>
      </c>
      <c r="H6">
        <v>10000</v>
      </c>
      <c r="I6" t="s">
        <v>103</v>
      </c>
      <c r="J6">
        <v>1</v>
      </c>
    </row>
    <row r="7" spans="1:10">
      <c r="A7" t="s">
        <v>101</v>
      </c>
      <c r="B7">
        <v>20</v>
      </c>
      <c r="C7">
        <v>0.99</v>
      </c>
      <c r="D7">
        <v>2.824898511773437</v>
      </c>
      <c r="E7">
        <v>3.255420760880137</v>
      </c>
      <c r="F7">
        <v>0.0066</v>
      </c>
      <c r="G7">
        <v>0.2022093855695061</v>
      </c>
      <c r="H7">
        <v>10000</v>
      </c>
      <c r="I7" t="s">
        <v>103</v>
      </c>
      <c r="J7">
        <v>1</v>
      </c>
    </row>
    <row r="8" spans="1:10">
      <c r="A8" t="s">
        <v>102</v>
      </c>
      <c r="B8">
        <v>20</v>
      </c>
      <c r="C8">
        <v>0.95</v>
      </c>
      <c r="D8">
        <v>1.514486889748579</v>
      </c>
      <c r="E8">
        <v>1.971226957387471</v>
      </c>
      <c r="F8">
        <v>0.0014</v>
      </c>
      <c r="G8">
        <v>0.1999970904762501</v>
      </c>
      <c r="H8">
        <v>10000</v>
      </c>
      <c r="I8" t="s">
        <v>103</v>
      </c>
      <c r="J8">
        <v>0.8164177777222945</v>
      </c>
    </row>
    <row r="9" spans="1:10">
      <c r="A9" t="s">
        <v>102</v>
      </c>
      <c r="B9">
        <v>20</v>
      </c>
      <c r="C9">
        <v>0.99</v>
      </c>
      <c r="D9">
        <v>2.276671065503684</v>
      </c>
      <c r="E9">
        <v>2.629956858523545</v>
      </c>
      <c r="F9">
        <v>0.0014</v>
      </c>
      <c r="G9">
        <v>0.1999970904762501</v>
      </c>
      <c r="H9">
        <v>10000</v>
      </c>
      <c r="I9" t="s">
        <v>103</v>
      </c>
      <c r="J9">
        <v>0.8164177777222945</v>
      </c>
    </row>
  </sheetData>
  <autoFilter ref="A1:J9"/>
  <conditionalFormatting sqref="B2:B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9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9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9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9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9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9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9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9" width="20.7109375" customWidth="1"/>
  </cols>
  <sheetData>
    <row r="1" spans="1:9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</row>
    <row r="2" spans="1:9">
      <c r="A2" t="s">
        <v>113</v>
      </c>
      <c r="B2">
        <v>-0.1697961544171566</v>
      </c>
      <c r="C2">
        <v>-0.0254423949659465</v>
      </c>
      <c r="D2">
        <v>-13.07815504314474</v>
      </c>
      <c r="E2">
        <v>0.7529152698412628</v>
      </c>
      <c r="F2">
        <v>0.8596969327731043</v>
      </c>
      <c r="G2">
        <v>0.7566844919786097</v>
      </c>
      <c r="H2">
        <v>87.75</v>
      </c>
      <c r="I2">
        <v>7</v>
      </c>
    </row>
    <row r="3" spans="1:9">
      <c r="A3" t="s">
        <v>114</v>
      </c>
      <c r="B3">
        <v>-5.249696971001838</v>
      </c>
      <c r="C3">
        <v>-0.8041843056766473</v>
      </c>
      <c r="D3">
        <v>-16.89332527851656</v>
      </c>
      <c r="E3">
        <v>0.8108799238095208</v>
      </c>
      <c r="F3">
        <v>0.9337358916900046</v>
      </c>
      <c r="G3">
        <v>1</v>
      </c>
      <c r="H3">
        <v>0</v>
      </c>
      <c r="I3">
        <v>7</v>
      </c>
    </row>
    <row r="4" spans="1:9">
      <c r="A4" t="s">
        <v>115</v>
      </c>
      <c r="B4">
        <v>1.198260215389602</v>
      </c>
      <c r="C4">
        <v>0.1785113436113539</v>
      </c>
      <c r="D4">
        <v>-12.612955128491</v>
      </c>
      <c r="E4">
        <v>0.6039472444444439</v>
      </c>
      <c r="F4">
        <v>0.6970584547152169</v>
      </c>
      <c r="G4">
        <v>0.75</v>
      </c>
      <c r="H4">
        <v>0.25</v>
      </c>
      <c r="I4">
        <v>7</v>
      </c>
    </row>
    <row r="5" spans="1:9">
      <c r="A5" t="s">
        <v>116</v>
      </c>
      <c r="B5">
        <v>-2.35227859185777</v>
      </c>
      <c r="C5">
        <v>-0.3557870538517749</v>
      </c>
      <c r="D5">
        <v>-13.64583961024585</v>
      </c>
      <c r="E5">
        <v>0.6274167619047598</v>
      </c>
      <c r="F5">
        <v>0.7579740406162429</v>
      </c>
      <c r="G5">
        <v>0.8367498514557338</v>
      </c>
      <c r="H5">
        <v>20.5</v>
      </c>
      <c r="I5">
        <v>7</v>
      </c>
    </row>
    <row r="6" spans="1:9">
      <c r="A6" t="s">
        <v>113</v>
      </c>
      <c r="B6">
        <v>1.42827221419537</v>
      </c>
      <c r="C6">
        <v>0.21257169932829</v>
      </c>
      <c r="D6">
        <v>-12.74294302373075</v>
      </c>
      <c r="E6">
        <v>0.7632275523809479</v>
      </c>
      <c r="F6">
        <v>0.8631951680672221</v>
      </c>
      <c r="G6">
        <v>0.6934046345811051</v>
      </c>
      <c r="H6">
        <v>51</v>
      </c>
      <c r="I6">
        <v>42</v>
      </c>
    </row>
    <row r="7" spans="1:9">
      <c r="A7" t="s">
        <v>114</v>
      </c>
      <c r="B7">
        <v>-5.249696971001838</v>
      </c>
      <c r="C7">
        <v>-0.8041843056766473</v>
      </c>
      <c r="D7">
        <v>-16.89332527851656</v>
      </c>
      <c r="E7">
        <v>0.8108799238095208</v>
      </c>
      <c r="F7">
        <v>0.9337358916900046</v>
      </c>
      <c r="G7">
        <v>1</v>
      </c>
      <c r="H7">
        <v>0</v>
      </c>
      <c r="I7">
        <v>42</v>
      </c>
    </row>
    <row r="8" spans="1:9">
      <c r="A8" t="s">
        <v>115</v>
      </c>
      <c r="B8">
        <v>1.198260215389602</v>
      </c>
      <c r="C8">
        <v>0.1785113436113539</v>
      </c>
      <c r="D8">
        <v>-12.612955128491</v>
      </c>
      <c r="E8">
        <v>0.6039472444444439</v>
      </c>
      <c r="F8">
        <v>0.6970584547152169</v>
      </c>
      <c r="G8">
        <v>0.75</v>
      </c>
      <c r="H8">
        <v>0.25</v>
      </c>
      <c r="I8">
        <v>42</v>
      </c>
    </row>
    <row r="9" spans="1:9">
      <c r="A9" t="s">
        <v>116</v>
      </c>
      <c r="B9">
        <v>-2.35227859185777</v>
      </c>
      <c r="C9">
        <v>-0.3557870538517749</v>
      </c>
      <c r="D9">
        <v>-13.64583961024585</v>
      </c>
      <c r="E9">
        <v>0.6274167619047598</v>
      </c>
      <c r="F9">
        <v>0.7579740406162429</v>
      </c>
      <c r="G9">
        <v>0.8367498514557338</v>
      </c>
      <c r="H9">
        <v>20.5</v>
      </c>
      <c r="I9">
        <v>42</v>
      </c>
    </row>
    <row r="10" spans="1:9">
      <c r="A10" t="s">
        <v>113</v>
      </c>
      <c r="B10">
        <v>-0.0257800149633613</v>
      </c>
      <c r="C10">
        <v>-0.0038605323258056</v>
      </c>
      <c r="D10">
        <v>-13.06015569224348</v>
      </c>
      <c r="E10">
        <v>0.7510798698412615</v>
      </c>
      <c r="F10">
        <v>0.8584542343604054</v>
      </c>
      <c r="G10">
        <v>0.7511883541295306</v>
      </c>
      <c r="H10">
        <v>164</v>
      </c>
      <c r="I10">
        <v>123</v>
      </c>
    </row>
    <row r="11" spans="1:9">
      <c r="A11" t="s">
        <v>114</v>
      </c>
      <c r="B11">
        <v>-5.249696971001838</v>
      </c>
      <c r="C11">
        <v>-0.8041843056766473</v>
      </c>
      <c r="D11">
        <v>-16.89332527851656</v>
      </c>
      <c r="E11">
        <v>0.8108799238095208</v>
      </c>
      <c r="F11">
        <v>0.9337358916900046</v>
      </c>
      <c r="G11">
        <v>1</v>
      </c>
      <c r="H11">
        <v>0</v>
      </c>
      <c r="I11">
        <v>123</v>
      </c>
    </row>
    <row r="12" spans="1:9">
      <c r="A12" t="s">
        <v>115</v>
      </c>
      <c r="B12">
        <v>1.198260215389602</v>
      </c>
      <c r="C12">
        <v>0.1785113436113539</v>
      </c>
      <c r="D12">
        <v>-12.612955128491</v>
      </c>
      <c r="E12">
        <v>0.6039472444444439</v>
      </c>
      <c r="F12">
        <v>0.6970584547152169</v>
      </c>
      <c r="G12">
        <v>0.75</v>
      </c>
      <c r="H12">
        <v>0.25</v>
      </c>
      <c r="I12">
        <v>123</v>
      </c>
    </row>
    <row r="13" spans="1:9">
      <c r="A13" t="s">
        <v>116</v>
      </c>
      <c r="B13">
        <v>-2.35227859185777</v>
      </c>
      <c r="C13">
        <v>-0.3557870538517749</v>
      </c>
      <c r="D13">
        <v>-13.64583961024585</v>
      </c>
      <c r="E13">
        <v>0.6274167619047598</v>
      </c>
      <c r="F13">
        <v>0.7579740406162429</v>
      </c>
      <c r="G13">
        <v>0.8367498514557338</v>
      </c>
      <c r="H13">
        <v>20.5</v>
      </c>
      <c r="I13">
        <v>123</v>
      </c>
    </row>
  </sheetData>
  <autoFilter ref="A1:I13"/>
  <conditionalFormatting sqref="B2:B13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13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1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13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3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3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3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3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20.7109375" customWidth="1"/>
  </cols>
  <sheetData>
    <row r="1" spans="1:15">
      <c r="A1" t="s">
        <v>104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</row>
    <row r="2" spans="1:15">
      <c r="A2" t="s">
        <v>115</v>
      </c>
      <c r="B2">
        <v>1.198260215389602</v>
      </c>
      <c r="C2">
        <v>0</v>
      </c>
      <c r="D2">
        <v>0.1785113436113539</v>
      </c>
      <c r="E2">
        <v>0</v>
      </c>
      <c r="F2">
        <v>-12.612955128491</v>
      </c>
      <c r="G2">
        <v>0</v>
      </c>
      <c r="H2">
        <v>0.6039472444444439</v>
      </c>
      <c r="I2">
        <v>0</v>
      </c>
      <c r="J2">
        <v>0.6970584547152169</v>
      </c>
      <c r="K2">
        <v>0</v>
      </c>
      <c r="L2">
        <v>0.75</v>
      </c>
      <c r="M2">
        <v>0</v>
      </c>
      <c r="N2">
        <v>0.25</v>
      </c>
      <c r="O2">
        <v>0</v>
      </c>
    </row>
    <row r="3" spans="1:15">
      <c r="A3" t="s">
        <v>114</v>
      </c>
      <c r="B3">
        <v>-5.249696971001838</v>
      </c>
      <c r="C3">
        <v>0</v>
      </c>
      <c r="D3">
        <v>-0.8041843056766473</v>
      </c>
      <c r="E3">
        <v>0</v>
      </c>
      <c r="F3">
        <v>-16.89332527851656</v>
      </c>
      <c r="G3">
        <v>0</v>
      </c>
      <c r="H3">
        <v>0.8108799238095208</v>
      </c>
      <c r="I3">
        <v>0</v>
      </c>
      <c r="J3">
        <v>0.9337358916900046</v>
      </c>
      <c r="K3">
        <v>0</v>
      </c>
      <c r="L3">
        <v>1</v>
      </c>
      <c r="M3">
        <v>0</v>
      </c>
      <c r="N3">
        <v>0</v>
      </c>
      <c r="O3">
        <v>0</v>
      </c>
    </row>
    <row r="4" spans="1:15">
      <c r="A4" t="s">
        <v>113</v>
      </c>
      <c r="B4">
        <v>0.4108986816049505</v>
      </c>
      <c r="C4">
        <v>0.884008959636397</v>
      </c>
      <c r="D4">
        <v>0.06108959067884597</v>
      </c>
      <c r="E4">
        <v>0.1316304149101413</v>
      </c>
      <c r="F4">
        <v>-12.96041791970632</v>
      </c>
      <c r="G4">
        <v>0.1885536845116186</v>
      </c>
      <c r="H4">
        <v>0.7557408973544907</v>
      </c>
      <c r="I4">
        <v>0.006548257470799618</v>
      </c>
      <c r="J4">
        <v>0.860448778400244</v>
      </c>
      <c r="K4">
        <v>0.002458265036238856</v>
      </c>
      <c r="L4">
        <v>0.7337591602297485</v>
      </c>
      <c r="M4">
        <v>0.03505592229651473</v>
      </c>
      <c r="N4">
        <v>100.9166666666667</v>
      </c>
      <c r="O4">
        <v>57.63914323906396</v>
      </c>
    </row>
    <row r="5" spans="1:15">
      <c r="A5" t="s">
        <v>116</v>
      </c>
      <c r="B5">
        <v>-2.35227859185777</v>
      </c>
      <c r="C5">
        <v>0</v>
      </c>
      <c r="D5">
        <v>-0.3557870538517749</v>
      </c>
      <c r="E5">
        <v>0</v>
      </c>
      <c r="F5">
        <v>-13.64583961024585</v>
      </c>
      <c r="G5">
        <v>0</v>
      </c>
      <c r="H5">
        <v>0.6274167619047598</v>
      </c>
      <c r="I5">
        <v>0</v>
      </c>
      <c r="J5">
        <v>0.7579740406162429</v>
      </c>
      <c r="K5">
        <v>0</v>
      </c>
      <c r="L5">
        <v>0.8367498514557338</v>
      </c>
      <c r="M5">
        <v>0</v>
      </c>
      <c r="N5">
        <v>20.5</v>
      </c>
      <c r="O5">
        <v>0</v>
      </c>
    </row>
  </sheetData>
  <autoFilter ref="A1:O5"/>
  <conditionalFormatting sqref="B2:B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5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5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5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5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5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2:L5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M2:M5">
    <cfRule type="colorScale" priority="1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5">
    <cfRule type="colorScale" priority="1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2:O5">
    <cfRule type="colorScale" priority="1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Overview</vt:lpstr>
      <vt:lpstr>Portfolio</vt:lpstr>
      <vt:lpstr>Scenarios</vt:lpstr>
      <vt:lpstr>Historical risk</vt:lpstr>
      <vt:lpstr>VaR backtest</vt:lpstr>
      <vt:lpstr>Worst days</vt:lpstr>
      <vt:lpstr>Scenario history 1d</vt:lpstr>
      <vt:lpstr>Scenario history 5d</vt:lpstr>
      <vt:lpstr>ML metrics</vt:lpstr>
      <vt:lpstr>ML importance</vt:lpstr>
      <vt:lpstr>Monte Carlo</vt:lpstr>
      <vt:lpstr>RL metrics</vt:lpstr>
      <vt:lpstr>RL seed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2026-10-11T23:12:48Z</dcterms:created>
  <dcterms:modified xsi:type="dcterms:W3CDTF">2026-10-11T23:12:48Z</dcterms:modified>
</cp:coreProperties>
</file>